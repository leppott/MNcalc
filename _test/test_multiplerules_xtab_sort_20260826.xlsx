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k.Leppo\Documents\GitHub\MNcalc\"/>
    </mc:Choice>
  </mc:AlternateContent>
  <xr:revisionPtr revIDLastSave="0" documentId="8_{1A063034-EA9D-48D9-8845-8A0E587B9A24}" xr6:coauthVersionLast="47" xr6:coauthVersionMax="47" xr10:uidLastSave="{00000000-0000-0000-0000-000000000000}"/>
  <bookViews>
    <workbookView xWindow="28680" yWindow="-120" windowWidth="29040" windowHeight="15720" xr2:uid="{8DB5908A-10C0-4A5F-AC4F-AA2C4900C962}"/>
  </bookViews>
  <sheets>
    <sheet name="test" sheetId="1" r:id="rId1"/>
  </sheets>
  <definedNames>
    <definedName name="_xlnm._FilterDatabase" localSheetId="0" hidden="1">test!$A$13:$J$47</definedName>
  </definedNames>
  <calcPr calcId="0"/>
</workbook>
</file>

<file path=xl/calcChain.xml><?xml version="1.0" encoding="utf-8"?>
<calcChain xmlns="http://schemas.openxmlformats.org/spreadsheetml/2006/main">
  <c r="S3" i="1" l="1"/>
  <c r="T3" i="1"/>
  <c r="U3" i="1"/>
  <c r="V3" i="1"/>
  <c r="W3" i="1"/>
  <c r="S4" i="1"/>
  <c r="T4" i="1"/>
  <c r="U4" i="1"/>
  <c r="V4" i="1"/>
  <c r="W4" i="1"/>
  <c r="S5" i="1"/>
  <c r="T5" i="1"/>
  <c r="U5" i="1"/>
  <c r="V5" i="1"/>
  <c r="W5" i="1"/>
  <c r="S6" i="1"/>
  <c r="T6" i="1"/>
  <c r="U6" i="1"/>
  <c r="V6" i="1"/>
  <c r="W6" i="1"/>
  <c r="S7" i="1"/>
  <c r="T7" i="1"/>
  <c r="U7" i="1"/>
  <c r="V7" i="1"/>
  <c r="W7" i="1"/>
  <c r="S8" i="1"/>
  <c r="T8" i="1"/>
  <c r="U8" i="1"/>
  <c r="V8" i="1"/>
  <c r="W8" i="1"/>
  <c r="S9" i="1"/>
  <c r="T9" i="1"/>
  <c r="U9" i="1"/>
  <c r="V9" i="1"/>
  <c r="W9" i="1"/>
  <c r="S10" i="1"/>
  <c r="T10" i="1"/>
  <c r="U10" i="1"/>
  <c r="V10" i="1"/>
  <c r="W10" i="1"/>
  <c r="S11" i="1"/>
  <c r="T11" i="1"/>
  <c r="U11" i="1"/>
  <c r="V11" i="1"/>
  <c r="W11" i="1"/>
  <c r="T2" i="1"/>
  <c r="U2" i="1"/>
  <c r="V2" i="1"/>
  <c r="W2" i="1"/>
  <c r="S2" i="1"/>
</calcChain>
</file>

<file path=xl/sharedStrings.xml><?xml version="1.0" encoding="utf-8"?>
<sst xmlns="http://schemas.openxmlformats.org/spreadsheetml/2006/main" count="192" uniqueCount="31">
  <si>
    <t>SampleID</t>
  </si>
  <si>
    <t>BCG_Status2</t>
  </si>
  <si>
    <t>INDEX_CLASS</t>
  </si>
  <si>
    <t>METRIC_NAME</t>
  </si>
  <si>
    <t>DESCRIPTION</t>
  </si>
  <si>
    <t>METRIC_VALUE</t>
  </si>
  <si>
    <t>LEVEL</t>
  </si>
  <si>
    <t>MEMBERSHIP</t>
  </si>
  <si>
    <t>METRIC_SORT</t>
  </si>
  <si>
    <t>fish2</t>
  </si>
  <si>
    <t>nt_BCG_att1</t>
  </si>
  <si>
    <t>number taxa - BCG Attribute I</t>
  </si>
  <si>
    <t>NA</t>
  </si>
  <si>
    <t>nt_BCG_att12</t>
  </si>
  <si>
    <t>number taxa - BCG Attribute I + II</t>
  </si>
  <si>
    <t>nt_BCG_att123</t>
  </si>
  <si>
    <t>number taxa - BCG Attribute I + II + III</t>
  </si>
  <si>
    <t>nt_total</t>
  </si>
  <si>
    <t>number taxa - total</t>
  </si>
  <si>
    <t>pi_BCG_att123</t>
  </si>
  <si>
    <t>percent (0-100) individuals - BCG Attribute I + II + III</t>
  </si>
  <si>
    <t>pi_BCG_att55a6a</t>
  </si>
  <si>
    <t>percent (0-100) individuals - BCG Attribute V + Va + VIa</t>
  </si>
  <si>
    <t>pi_BCG_att5a6a</t>
  </si>
  <si>
    <t>percent (0-100) individuals - BCG Attribute Va + VIa</t>
  </si>
  <si>
    <t>pi_dom01_BCG_att5a6a</t>
  </si>
  <si>
    <t>percent (0-100) individuals - most dominant BCG Attribute Va or VIa taxon</t>
  </si>
  <si>
    <t>pt_BCG_att123</t>
  </si>
  <si>
    <t>percent (0-100) taxa - BCG Attribute I + II + III</t>
  </si>
  <si>
    <t>pt_BCG_att1234</t>
  </si>
  <si>
    <t>percent (0-100) taxa - BCG Attribute I + II + III + 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</si>
</sst>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77DD7-FDFC-424E-A4A5-ACE70B2E1141}">
  <sheetPr filterMode="1"/>
  <dimension ref="A1:W47"/>
  <sheetViews>
    <sheetView tabSelected="1" workbookViewId="0">
      <selection activeCell="E19" sqref="E19:E22"/>
    </sheetView>
  </sheetViews>
  <sheetFormatPr defaultRowHeight="15" x14ac:dyDescent="0.25"/>
  <cols>
    <col min="5" max="5" width="22.140625" bestFit="1" customWidth="1"/>
    <col min="6" max="6" width="20.28515625" customWidth="1"/>
    <col min="9" max="9" width="12.7109375" bestFit="1" customWidth="1"/>
    <col min="10" max="10" width="13.28515625" bestFit="1" customWidth="1"/>
    <col min="15" max="15" width="13.140625" customWidth="1"/>
  </cols>
  <sheetData>
    <row r="1" spans="1:23" x14ac:dyDescent="0.25"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  <c r="Q1" s="1" t="s">
        <v>5</v>
      </c>
      <c r="R1" s="1" t="s">
        <v>8</v>
      </c>
      <c r="S1">
        <v>1</v>
      </c>
      <c r="T1">
        <v>2</v>
      </c>
      <c r="U1">
        <v>3</v>
      </c>
      <c r="V1">
        <v>4</v>
      </c>
      <c r="W1">
        <v>5</v>
      </c>
    </row>
    <row r="2" spans="1:23" x14ac:dyDescent="0.25">
      <c r="L2">
        <v>20000142</v>
      </c>
      <c r="M2">
        <v>4</v>
      </c>
      <c r="N2" t="s">
        <v>9</v>
      </c>
      <c r="O2" t="s">
        <v>10</v>
      </c>
      <c r="P2" t="s">
        <v>11</v>
      </c>
      <c r="Q2">
        <v>0</v>
      </c>
      <c r="R2" t="s">
        <v>12</v>
      </c>
      <c r="S2">
        <f>COUNTIFS($E$14:$E$47,$O2,$H$14:$H$47,S$1)</f>
        <v>1</v>
      </c>
      <c r="T2">
        <f>COUNTIFS($E$14:$E$47,$O2,$H$14:$H$47,T$1)</f>
        <v>0</v>
      </c>
      <c r="U2">
        <f>COUNTIFS($E$14:$E$47,$O2,$H$14:$H$47,U$1)</f>
        <v>0</v>
      </c>
      <c r="V2">
        <f>COUNTIFS($E$14:$E$47,$O2,$H$14:$H$47,V$1)</f>
        <v>0</v>
      </c>
      <c r="W2">
        <f>COUNTIFS($E$14:$E$47,$O2,$H$14:$H$47,W$1)</f>
        <v>0</v>
      </c>
    </row>
    <row r="3" spans="1:23" x14ac:dyDescent="0.25">
      <c r="L3">
        <v>20000142</v>
      </c>
      <c r="M3">
        <v>4</v>
      </c>
      <c r="N3" t="s">
        <v>9</v>
      </c>
      <c r="O3" t="s">
        <v>13</v>
      </c>
      <c r="P3" t="s">
        <v>14</v>
      </c>
      <c r="Q3">
        <v>0</v>
      </c>
      <c r="R3" t="s">
        <v>12</v>
      </c>
      <c r="S3">
        <f>COUNTIFS($E$14:$E$47,$O3,$H$14:$H$47,S$1)</f>
        <v>1</v>
      </c>
      <c r="T3">
        <f>COUNTIFS($E$14:$E$47,$O3,$H$14:$H$47,T$1)</f>
        <v>0</v>
      </c>
      <c r="U3">
        <f>COUNTIFS($E$14:$E$47,$O3,$H$14:$H$47,U$1)</f>
        <v>0</v>
      </c>
      <c r="V3">
        <f>COUNTIFS($E$14:$E$47,$O3,$H$14:$H$47,V$1)</f>
        <v>0</v>
      </c>
      <c r="W3">
        <f>COUNTIFS($E$14:$E$47,$O3,$H$14:$H$47,W$1)</f>
        <v>0</v>
      </c>
    </row>
    <row r="4" spans="1:23" x14ac:dyDescent="0.25">
      <c r="L4">
        <v>20000142</v>
      </c>
      <c r="M4">
        <v>4</v>
      </c>
      <c r="N4" t="s">
        <v>9</v>
      </c>
      <c r="O4" t="s">
        <v>15</v>
      </c>
      <c r="P4" t="s">
        <v>16</v>
      </c>
      <c r="Q4">
        <v>0</v>
      </c>
      <c r="R4" t="s">
        <v>12</v>
      </c>
      <c r="S4">
        <f>COUNTIFS($E$14:$E$47,$O4,$H$14:$H$47,S$1)</f>
        <v>0</v>
      </c>
      <c r="T4">
        <f>COUNTIFS($E$14:$E$47,$O4,$H$14:$H$47,T$1)</f>
        <v>1</v>
      </c>
      <c r="U4">
        <f>COUNTIFS($E$14:$E$47,$O4,$H$14:$H$47,U$1)</f>
        <v>0</v>
      </c>
      <c r="V4">
        <f>COUNTIFS($E$14:$E$47,$O4,$H$14:$H$47,V$1)</f>
        <v>0</v>
      </c>
      <c r="W4">
        <f>COUNTIFS($E$14:$E$47,$O4,$H$14:$H$47,W$1)</f>
        <v>0</v>
      </c>
    </row>
    <row r="5" spans="1:23" x14ac:dyDescent="0.25">
      <c r="L5">
        <v>20000142</v>
      </c>
      <c r="M5">
        <v>4</v>
      </c>
      <c r="N5" t="s">
        <v>9</v>
      </c>
      <c r="O5" t="s">
        <v>17</v>
      </c>
      <c r="P5" t="s">
        <v>18</v>
      </c>
      <c r="Q5">
        <v>30</v>
      </c>
      <c r="R5" t="s">
        <v>12</v>
      </c>
      <c r="S5">
        <f>COUNTIFS($E$14:$E$47,$O5,$H$14:$H$47,S$1)</f>
        <v>1</v>
      </c>
      <c r="T5">
        <f>COUNTIFS($E$14:$E$47,$O5,$H$14:$H$47,T$1)</f>
        <v>1</v>
      </c>
      <c r="U5">
        <f>COUNTIFS($E$14:$E$47,$O5,$H$14:$H$47,U$1)</f>
        <v>1</v>
      </c>
      <c r="V5">
        <f>COUNTIFS($E$14:$E$47,$O5,$H$14:$H$47,V$1)</f>
        <v>2</v>
      </c>
      <c r="W5">
        <f>COUNTIFS($E$14:$E$47,$O5,$H$14:$H$47,W$1)</f>
        <v>3</v>
      </c>
    </row>
    <row r="6" spans="1:23" x14ac:dyDescent="0.25">
      <c r="L6">
        <v>20000142</v>
      </c>
      <c r="M6">
        <v>4</v>
      </c>
      <c r="N6" t="s">
        <v>9</v>
      </c>
      <c r="O6" t="s">
        <v>19</v>
      </c>
      <c r="P6" t="s">
        <v>20</v>
      </c>
      <c r="Q6">
        <v>0</v>
      </c>
      <c r="R6" t="s">
        <v>12</v>
      </c>
      <c r="S6">
        <f>COUNTIFS($E$14:$E$47,$O6,$H$14:$H$47,S$1)</f>
        <v>1</v>
      </c>
      <c r="T6">
        <f>COUNTIFS($E$14:$E$47,$O6,$H$14:$H$47,T$1)</f>
        <v>1</v>
      </c>
      <c r="U6">
        <f>COUNTIFS($E$14:$E$47,$O6,$H$14:$H$47,U$1)</f>
        <v>1</v>
      </c>
      <c r="V6">
        <f>COUNTIFS($E$14:$E$47,$O6,$H$14:$H$47,V$1)</f>
        <v>1</v>
      </c>
      <c r="W6">
        <f>COUNTIFS($E$14:$E$47,$O6,$H$14:$H$47,W$1)</f>
        <v>0</v>
      </c>
    </row>
    <row r="7" spans="1:23" x14ac:dyDescent="0.25">
      <c r="L7">
        <v>20000142</v>
      </c>
      <c r="M7">
        <v>4</v>
      </c>
      <c r="N7" t="s">
        <v>9</v>
      </c>
      <c r="O7" t="s">
        <v>21</v>
      </c>
      <c r="P7" t="s">
        <v>22</v>
      </c>
      <c r="Q7">
        <v>0</v>
      </c>
      <c r="R7" t="s">
        <v>12</v>
      </c>
      <c r="S7">
        <f>COUNTIFS($E$14:$E$47,$O7,$H$14:$H$47,S$1)</f>
        <v>1</v>
      </c>
      <c r="T7">
        <f>COUNTIFS($E$14:$E$47,$O7,$H$14:$H$47,T$1)</f>
        <v>0</v>
      </c>
      <c r="U7">
        <f>COUNTIFS($E$14:$E$47,$O7,$H$14:$H$47,U$1)</f>
        <v>0</v>
      </c>
      <c r="V7">
        <f>COUNTIFS($E$14:$E$47,$O7,$H$14:$H$47,V$1)</f>
        <v>2</v>
      </c>
      <c r="W7">
        <f>COUNTIFS($E$14:$E$47,$O7,$H$14:$H$47,W$1)</f>
        <v>0</v>
      </c>
    </row>
    <row r="8" spans="1:23" x14ac:dyDescent="0.25">
      <c r="L8">
        <v>20000142</v>
      </c>
      <c r="M8">
        <v>4</v>
      </c>
      <c r="N8" t="s">
        <v>9</v>
      </c>
      <c r="O8" t="s">
        <v>23</v>
      </c>
      <c r="P8" t="s">
        <v>24</v>
      </c>
      <c r="Q8">
        <v>0</v>
      </c>
      <c r="R8" t="s">
        <v>12</v>
      </c>
      <c r="S8">
        <f>COUNTIFS($E$14:$E$47,$O8,$H$14:$H$47,S$1)</f>
        <v>0</v>
      </c>
      <c r="T8">
        <f>COUNTIFS($E$14:$E$47,$O8,$H$14:$H$47,T$1)</f>
        <v>1</v>
      </c>
      <c r="U8">
        <f>COUNTIFS($E$14:$E$47,$O8,$H$14:$H$47,U$1)</f>
        <v>1</v>
      </c>
      <c r="V8">
        <f>COUNTIFS($E$14:$E$47,$O8,$H$14:$H$47,V$1)</f>
        <v>2</v>
      </c>
      <c r="W8">
        <f>COUNTIFS($E$14:$E$47,$O8,$H$14:$H$47,W$1)</f>
        <v>1</v>
      </c>
    </row>
    <row r="9" spans="1:23" x14ac:dyDescent="0.25">
      <c r="L9">
        <v>20000142</v>
      </c>
      <c r="M9">
        <v>4</v>
      </c>
      <c r="N9" t="s">
        <v>9</v>
      </c>
      <c r="O9" t="s">
        <v>25</v>
      </c>
      <c r="P9" t="s">
        <v>26</v>
      </c>
      <c r="Q9">
        <v>0</v>
      </c>
      <c r="R9" t="s">
        <v>12</v>
      </c>
      <c r="S9">
        <f>COUNTIFS($E$14:$E$47,$O9,$H$14:$H$47,S$1)</f>
        <v>0</v>
      </c>
      <c r="T9">
        <f>COUNTIFS($E$14:$E$47,$O9,$H$14:$H$47,T$1)</f>
        <v>0</v>
      </c>
      <c r="U9">
        <f>COUNTIFS($E$14:$E$47,$O9,$H$14:$H$47,U$1)</f>
        <v>1</v>
      </c>
      <c r="V9">
        <f>COUNTIFS($E$14:$E$47,$O9,$H$14:$H$47,V$1)</f>
        <v>2</v>
      </c>
      <c r="W9">
        <f>COUNTIFS($E$14:$E$47,$O9,$H$14:$H$47,W$1)</f>
        <v>1</v>
      </c>
    </row>
    <row r="10" spans="1:23" x14ac:dyDescent="0.25">
      <c r="L10">
        <v>20000142</v>
      </c>
      <c r="M10">
        <v>4</v>
      </c>
      <c r="N10" t="s">
        <v>9</v>
      </c>
      <c r="O10" t="s">
        <v>27</v>
      </c>
      <c r="P10" t="s">
        <v>28</v>
      </c>
      <c r="Q10">
        <v>0</v>
      </c>
      <c r="R10" t="s">
        <v>12</v>
      </c>
      <c r="S10">
        <f>COUNTIFS($E$14:$E$47,$O10,$H$14:$H$47,S$1)</f>
        <v>1</v>
      </c>
      <c r="T10">
        <f>COUNTIFS($E$14:$E$47,$O10,$H$14:$H$47,T$1)</f>
        <v>1</v>
      </c>
      <c r="U10">
        <f>COUNTIFS($E$14:$E$47,$O10,$H$14:$H$47,U$1)</f>
        <v>1</v>
      </c>
      <c r="V10">
        <f>COUNTIFS($E$14:$E$47,$O10,$H$14:$H$47,V$1)</f>
        <v>1</v>
      </c>
      <c r="W10">
        <f>COUNTIFS($E$14:$E$47,$O10,$H$14:$H$47,W$1)</f>
        <v>1</v>
      </c>
    </row>
    <row r="11" spans="1:23" x14ac:dyDescent="0.25">
      <c r="L11">
        <v>20000142</v>
      </c>
      <c r="M11">
        <v>4</v>
      </c>
      <c r="N11" t="s">
        <v>9</v>
      </c>
      <c r="O11" t="s">
        <v>29</v>
      </c>
      <c r="P11" t="s">
        <v>30</v>
      </c>
      <c r="Q11">
        <v>0</v>
      </c>
      <c r="R11" t="s">
        <v>12</v>
      </c>
      <c r="S11">
        <f>COUNTIFS($E$14:$E$47,$O11,$H$14:$H$47,S$1)</f>
        <v>0</v>
      </c>
      <c r="T11">
        <f>COUNTIFS($E$14:$E$47,$O11,$H$14:$H$47,T$1)</f>
        <v>0</v>
      </c>
      <c r="U11">
        <f>COUNTIFS($E$14:$E$47,$O11,$H$14:$H$47,U$1)</f>
        <v>0</v>
      </c>
      <c r="V11">
        <f>COUNTIFS($E$14:$E$47,$O11,$H$14:$H$47,V$1)</f>
        <v>0</v>
      </c>
      <c r="W11">
        <f>COUNTIFS($E$14:$E$47,$O11,$H$14:$H$47,W$1)</f>
        <v>2</v>
      </c>
    </row>
    <row r="13" spans="1:23" x14ac:dyDescent="0.25">
      <c r="B13" s="1" t="s">
        <v>0</v>
      </c>
      <c r="C13" s="1" t="s">
        <v>1</v>
      </c>
      <c r="D13" s="1" t="s">
        <v>2</v>
      </c>
      <c r="E13" s="1" t="s">
        <v>3</v>
      </c>
      <c r="F13" s="1" t="s">
        <v>4</v>
      </c>
      <c r="G13" s="1" t="s">
        <v>5</v>
      </c>
      <c r="H13" t="s">
        <v>6</v>
      </c>
      <c r="I13" t="s">
        <v>7</v>
      </c>
      <c r="J13" s="1" t="s">
        <v>8</v>
      </c>
    </row>
    <row r="14" spans="1:23" hidden="1" x14ac:dyDescent="0.25">
      <c r="A14">
        <v>1</v>
      </c>
      <c r="B14">
        <v>20000142</v>
      </c>
      <c r="C14">
        <v>4</v>
      </c>
      <c r="D14" t="s">
        <v>9</v>
      </c>
      <c r="E14" t="s">
        <v>10</v>
      </c>
      <c r="F14" t="s">
        <v>11</v>
      </c>
      <c r="G14">
        <v>0</v>
      </c>
      <c r="H14">
        <v>1</v>
      </c>
      <c r="I14">
        <v>0</v>
      </c>
      <c r="J14" t="s">
        <v>12</v>
      </c>
    </row>
    <row r="15" spans="1:23" hidden="1" x14ac:dyDescent="0.25">
      <c r="A15">
        <v>2</v>
      </c>
      <c r="B15">
        <v>20000142</v>
      </c>
      <c r="C15">
        <v>4</v>
      </c>
      <c r="D15" t="s">
        <v>9</v>
      </c>
      <c r="E15" t="s">
        <v>13</v>
      </c>
      <c r="F15" t="s">
        <v>14</v>
      </c>
      <c r="G15">
        <v>0</v>
      </c>
      <c r="H15">
        <v>1</v>
      </c>
      <c r="I15">
        <v>0</v>
      </c>
      <c r="J15" t="s">
        <v>12</v>
      </c>
    </row>
    <row r="16" spans="1:23" hidden="1" x14ac:dyDescent="0.25">
      <c r="A16">
        <v>3</v>
      </c>
      <c r="B16">
        <v>20000142</v>
      </c>
      <c r="C16">
        <v>4</v>
      </c>
      <c r="D16" t="s">
        <v>9</v>
      </c>
      <c r="E16" t="s">
        <v>15</v>
      </c>
      <c r="F16" t="s">
        <v>16</v>
      </c>
      <c r="G16">
        <v>0</v>
      </c>
      <c r="H16">
        <v>2</v>
      </c>
      <c r="I16">
        <v>0</v>
      </c>
      <c r="J16" t="s">
        <v>12</v>
      </c>
    </row>
    <row r="17" spans="1:10" hidden="1" x14ac:dyDescent="0.25">
      <c r="A17">
        <v>4</v>
      </c>
      <c r="B17">
        <v>20000142</v>
      </c>
      <c r="C17">
        <v>4</v>
      </c>
      <c r="D17" t="s">
        <v>9</v>
      </c>
      <c r="E17" t="s">
        <v>17</v>
      </c>
      <c r="F17" t="s">
        <v>18</v>
      </c>
      <c r="G17">
        <v>30</v>
      </c>
      <c r="H17">
        <v>4</v>
      </c>
      <c r="I17">
        <v>1</v>
      </c>
      <c r="J17" t="s">
        <v>12</v>
      </c>
    </row>
    <row r="18" spans="1:10" hidden="1" x14ac:dyDescent="0.25">
      <c r="A18">
        <v>5</v>
      </c>
      <c r="B18">
        <v>20000142</v>
      </c>
      <c r="C18">
        <v>4</v>
      </c>
      <c r="D18" t="s">
        <v>9</v>
      </c>
      <c r="E18" t="s">
        <v>17</v>
      </c>
      <c r="F18" t="s">
        <v>18</v>
      </c>
      <c r="G18">
        <v>30</v>
      </c>
      <c r="H18">
        <v>4</v>
      </c>
      <c r="I18">
        <v>1</v>
      </c>
      <c r="J18" t="s">
        <v>12</v>
      </c>
    </row>
    <row r="19" spans="1:10" x14ac:dyDescent="0.25">
      <c r="A19">
        <v>6</v>
      </c>
      <c r="B19">
        <v>20000142</v>
      </c>
      <c r="C19">
        <v>4</v>
      </c>
      <c r="D19" t="s">
        <v>9</v>
      </c>
      <c r="E19" t="s">
        <v>17</v>
      </c>
      <c r="F19" t="s">
        <v>18</v>
      </c>
      <c r="G19">
        <v>30</v>
      </c>
      <c r="H19">
        <v>5</v>
      </c>
      <c r="I19">
        <v>1</v>
      </c>
      <c r="J19" t="s">
        <v>12</v>
      </c>
    </row>
    <row r="20" spans="1:10" hidden="1" x14ac:dyDescent="0.25">
      <c r="A20">
        <v>7</v>
      </c>
      <c r="B20">
        <v>20000142</v>
      </c>
      <c r="C20">
        <v>4</v>
      </c>
      <c r="D20" t="s">
        <v>9</v>
      </c>
      <c r="E20" t="s">
        <v>17</v>
      </c>
      <c r="F20" t="s">
        <v>18</v>
      </c>
      <c r="G20">
        <v>30</v>
      </c>
      <c r="H20">
        <v>3</v>
      </c>
      <c r="I20">
        <v>1</v>
      </c>
      <c r="J20" t="s">
        <v>12</v>
      </c>
    </row>
    <row r="21" spans="1:10" x14ac:dyDescent="0.25">
      <c r="A21">
        <v>8</v>
      </c>
      <c r="B21">
        <v>20000142</v>
      </c>
      <c r="C21">
        <v>4</v>
      </c>
      <c r="D21" t="s">
        <v>9</v>
      </c>
      <c r="E21" t="s">
        <v>17</v>
      </c>
      <c r="F21" t="s">
        <v>18</v>
      </c>
      <c r="G21">
        <v>30</v>
      </c>
      <c r="H21">
        <v>5</v>
      </c>
      <c r="I21">
        <v>1</v>
      </c>
      <c r="J21" t="s">
        <v>12</v>
      </c>
    </row>
    <row r="22" spans="1:10" x14ac:dyDescent="0.25">
      <c r="A22">
        <v>9</v>
      </c>
      <c r="B22">
        <v>20000142</v>
      </c>
      <c r="C22">
        <v>4</v>
      </c>
      <c r="D22" t="s">
        <v>9</v>
      </c>
      <c r="E22" t="s">
        <v>17</v>
      </c>
      <c r="F22" t="s">
        <v>18</v>
      </c>
      <c r="G22">
        <v>30</v>
      </c>
      <c r="H22">
        <v>5</v>
      </c>
      <c r="I22">
        <v>1</v>
      </c>
      <c r="J22" t="s">
        <v>12</v>
      </c>
    </row>
    <row r="23" spans="1:10" hidden="1" x14ac:dyDescent="0.25">
      <c r="A23">
        <v>10</v>
      </c>
      <c r="B23">
        <v>20000142</v>
      </c>
      <c r="C23">
        <v>4</v>
      </c>
      <c r="D23" t="s">
        <v>9</v>
      </c>
      <c r="E23" t="s">
        <v>17</v>
      </c>
      <c r="F23" t="s">
        <v>18</v>
      </c>
      <c r="G23">
        <v>30</v>
      </c>
      <c r="H23">
        <v>1</v>
      </c>
      <c r="I23">
        <v>0.5</v>
      </c>
      <c r="J23" t="s">
        <v>12</v>
      </c>
    </row>
    <row r="24" spans="1:10" hidden="1" x14ac:dyDescent="0.25">
      <c r="A24">
        <v>11</v>
      </c>
      <c r="B24">
        <v>20000142</v>
      </c>
      <c r="C24">
        <v>4</v>
      </c>
      <c r="D24" t="s">
        <v>9</v>
      </c>
      <c r="E24" t="s">
        <v>17</v>
      </c>
      <c r="F24" t="s">
        <v>18</v>
      </c>
      <c r="G24">
        <v>30</v>
      </c>
      <c r="H24">
        <v>2</v>
      </c>
      <c r="I24">
        <v>1</v>
      </c>
      <c r="J24" t="s">
        <v>12</v>
      </c>
    </row>
    <row r="25" spans="1:10" hidden="1" x14ac:dyDescent="0.25">
      <c r="A25">
        <v>12</v>
      </c>
      <c r="B25">
        <v>20000142</v>
      </c>
      <c r="C25">
        <v>4</v>
      </c>
      <c r="D25" t="s">
        <v>9</v>
      </c>
      <c r="E25" t="s">
        <v>19</v>
      </c>
      <c r="F25" t="s">
        <v>20</v>
      </c>
      <c r="G25">
        <v>0</v>
      </c>
      <c r="H25">
        <v>2</v>
      </c>
      <c r="I25">
        <v>0</v>
      </c>
      <c r="J25" t="s">
        <v>12</v>
      </c>
    </row>
    <row r="26" spans="1:10" hidden="1" x14ac:dyDescent="0.25">
      <c r="A26">
        <v>13</v>
      </c>
      <c r="B26">
        <v>20000142</v>
      </c>
      <c r="C26">
        <v>4</v>
      </c>
      <c r="D26" t="s">
        <v>9</v>
      </c>
      <c r="E26" t="s">
        <v>19</v>
      </c>
      <c r="F26" t="s">
        <v>20</v>
      </c>
      <c r="G26">
        <v>0</v>
      </c>
      <c r="H26">
        <v>1</v>
      </c>
      <c r="I26">
        <v>0</v>
      </c>
      <c r="J26" t="s">
        <v>12</v>
      </c>
    </row>
    <row r="27" spans="1:10" hidden="1" x14ac:dyDescent="0.25">
      <c r="A27">
        <v>14</v>
      </c>
      <c r="B27">
        <v>20000142</v>
      </c>
      <c r="C27">
        <v>4</v>
      </c>
      <c r="D27" t="s">
        <v>9</v>
      </c>
      <c r="E27" t="s">
        <v>19</v>
      </c>
      <c r="F27" t="s">
        <v>20</v>
      </c>
      <c r="G27">
        <v>0</v>
      </c>
      <c r="H27">
        <v>4</v>
      </c>
      <c r="I27">
        <v>0</v>
      </c>
      <c r="J27" t="s">
        <v>12</v>
      </c>
    </row>
    <row r="28" spans="1:10" hidden="1" x14ac:dyDescent="0.25">
      <c r="A28">
        <v>15</v>
      </c>
      <c r="B28">
        <v>20000142</v>
      </c>
      <c r="C28">
        <v>4</v>
      </c>
      <c r="D28" t="s">
        <v>9</v>
      </c>
      <c r="E28" t="s">
        <v>19</v>
      </c>
      <c r="F28" t="s">
        <v>20</v>
      </c>
      <c r="G28">
        <v>0</v>
      </c>
      <c r="H28">
        <v>3</v>
      </c>
      <c r="I28">
        <v>0</v>
      </c>
      <c r="J28" t="s">
        <v>12</v>
      </c>
    </row>
    <row r="29" spans="1:10" hidden="1" x14ac:dyDescent="0.25">
      <c r="A29">
        <v>16</v>
      </c>
      <c r="B29">
        <v>20000142</v>
      </c>
      <c r="C29">
        <v>4</v>
      </c>
      <c r="D29" t="s">
        <v>9</v>
      </c>
      <c r="E29" t="s">
        <v>21</v>
      </c>
      <c r="F29" t="s">
        <v>22</v>
      </c>
      <c r="G29">
        <v>0</v>
      </c>
      <c r="H29">
        <v>4</v>
      </c>
      <c r="I29">
        <v>1</v>
      </c>
      <c r="J29" t="s">
        <v>12</v>
      </c>
    </row>
    <row r="30" spans="1:10" hidden="1" x14ac:dyDescent="0.25">
      <c r="A30">
        <v>17</v>
      </c>
      <c r="B30">
        <v>20000142</v>
      </c>
      <c r="C30">
        <v>4</v>
      </c>
      <c r="D30" t="s">
        <v>9</v>
      </c>
      <c r="E30" t="s">
        <v>21</v>
      </c>
      <c r="F30" t="s">
        <v>22</v>
      </c>
      <c r="G30">
        <v>0</v>
      </c>
      <c r="H30">
        <v>1</v>
      </c>
      <c r="I30">
        <v>1</v>
      </c>
      <c r="J30" t="s">
        <v>12</v>
      </c>
    </row>
    <row r="31" spans="1:10" hidden="1" x14ac:dyDescent="0.25">
      <c r="A31">
        <v>18</v>
      </c>
      <c r="B31">
        <v>20000142</v>
      </c>
      <c r="C31">
        <v>4</v>
      </c>
      <c r="D31" t="s">
        <v>9</v>
      </c>
      <c r="E31" t="s">
        <v>21</v>
      </c>
      <c r="F31" t="s">
        <v>22</v>
      </c>
      <c r="G31">
        <v>0</v>
      </c>
      <c r="H31">
        <v>4</v>
      </c>
      <c r="I31">
        <v>1</v>
      </c>
      <c r="J31" t="s">
        <v>12</v>
      </c>
    </row>
    <row r="32" spans="1:10" hidden="1" x14ac:dyDescent="0.25">
      <c r="A32">
        <v>19</v>
      </c>
      <c r="B32">
        <v>20000142</v>
      </c>
      <c r="C32">
        <v>4</v>
      </c>
      <c r="D32" t="s">
        <v>9</v>
      </c>
      <c r="E32" t="s">
        <v>23</v>
      </c>
      <c r="F32" t="s">
        <v>24</v>
      </c>
      <c r="G32">
        <v>0</v>
      </c>
      <c r="H32">
        <v>3</v>
      </c>
      <c r="I32">
        <v>1</v>
      </c>
      <c r="J32" t="s">
        <v>12</v>
      </c>
    </row>
    <row r="33" spans="1:10" hidden="1" x14ac:dyDescent="0.25">
      <c r="A33">
        <v>20</v>
      </c>
      <c r="B33">
        <v>20000142</v>
      </c>
      <c r="C33">
        <v>4</v>
      </c>
      <c r="D33" t="s">
        <v>9</v>
      </c>
      <c r="E33" t="s">
        <v>23</v>
      </c>
      <c r="F33" t="s">
        <v>24</v>
      </c>
      <c r="G33">
        <v>0</v>
      </c>
      <c r="H33">
        <v>4</v>
      </c>
      <c r="I33">
        <v>1</v>
      </c>
      <c r="J33" t="s">
        <v>12</v>
      </c>
    </row>
    <row r="34" spans="1:10" hidden="1" x14ac:dyDescent="0.25">
      <c r="A34">
        <v>21</v>
      </c>
      <c r="B34">
        <v>20000142</v>
      </c>
      <c r="C34">
        <v>4</v>
      </c>
      <c r="D34" t="s">
        <v>9</v>
      </c>
      <c r="E34" t="s">
        <v>23</v>
      </c>
      <c r="F34" t="s">
        <v>24</v>
      </c>
      <c r="G34">
        <v>0</v>
      </c>
      <c r="H34">
        <v>4</v>
      </c>
      <c r="I34">
        <v>1</v>
      </c>
      <c r="J34" t="s">
        <v>12</v>
      </c>
    </row>
    <row r="35" spans="1:10" hidden="1" x14ac:dyDescent="0.25">
      <c r="A35">
        <v>22</v>
      </c>
      <c r="B35">
        <v>20000142</v>
      </c>
      <c r="C35">
        <v>4</v>
      </c>
      <c r="D35" t="s">
        <v>9</v>
      </c>
      <c r="E35" t="s">
        <v>23</v>
      </c>
      <c r="F35" t="s">
        <v>24</v>
      </c>
      <c r="G35">
        <v>0</v>
      </c>
      <c r="H35">
        <v>5</v>
      </c>
      <c r="I35">
        <v>1</v>
      </c>
      <c r="J35" t="s">
        <v>12</v>
      </c>
    </row>
    <row r="36" spans="1:10" hidden="1" x14ac:dyDescent="0.25">
      <c r="A36">
        <v>23</v>
      </c>
      <c r="B36">
        <v>20000142</v>
      </c>
      <c r="C36">
        <v>4</v>
      </c>
      <c r="D36" t="s">
        <v>9</v>
      </c>
      <c r="E36" t="s">
        <v>23</v>
      </c>
      <c r="F36" t="s">
        <v>24</v>
      </c>
      <c r="G36">
        <v>0</v>
      </c>
      <c r="H36">
        <v>2</v>
      </c>
      <c r="I36">
        <v>1</v>
      </c>
      <c r="J36" t="s">
        <v>12</v>
      </c>
    </row>
    <row r="37" spans="1:10" hidden="1" x14ac:dyDescent="0.25">
      <c r="A37">
        <v>24</v>
      </c>
      <c r="B37">
        <v>20000142</v>
      </c>
      <c r="C37">
        <v>4</v>
      </c>
      <c r="D37" t="s">
        <v>9</v>
      </c>
      <c r="E37" t="s">
        <v>25</v>
      </c>
      <c r="F37" t="s">
        <v>26</v>
      </c>
      <c r="G37">
        <v>0</v>
      </c>
      <c r="H37">
        <v>4</v>
      </c>
      <c r="I37">
        <v>1</v>
      </c>
      <c r="J37" t="s">
        <v>12</v>
      </c>
    </row>
    <row r="38" spans="1:10" hidden="1" x14ac:dyDescent="0.25">
      <c r="A38">
        <v>25</v>
      </c>
      <c r="B38">
        <v>20000142</v>
      </c>
      <c r="C38">
        <v>4</v>
      </c>
      <c r="D38" t="s">
        <v>9</v>
      </c>
      <c r="E38" t="s">
        <v>25</v>
      </c>
      <c r="F38" t="s">
        <v>26</v>
      </c>
      <c r="G38">
        <v>0</v>
      </c>
      <c r="H38">
        <v>5</v>
      </c>
      <c r="I38">
        <v>1</v>
      </c>
      <c r="J38" t="s">
        <v>12</v>
      </c>
    </row>
    <row r="39" spans="1:10" hidden="1" x14ac:dyDescent="0.25">
      <c r="A39">
        <v>26</v>
      </c>
      <c r="B39">
        <v>20000142</v>
      </c>
      <c r="C39">
        <v>4</v>
      </c>
      <c r="D39" t="s">
        <v>9</v>
      </c>
      <c r="E39" t="s">
        <v>25</v>
      </c>
      <c r="F39" t="s">
        <v>26</v>
      </c>
      <c r="G39">
        <v>0</v>
      </c>
      <c r="H39">
        <v>4</v>
      </c>
      <c r="I39">
        <v>1</v>
      </c>
      <c r="J39" t="s">
        <v>12</v>
      </c>
    </row>
    <row r="40" spans="1:10" hidden="1" x14ac:dyDescent="0.25">
      <c r="A40">
        <v>27</v>
      </c>
      <c r="B40">
        <v>20000142</v>
      </c>
      <c r="C40">
        <v>4</v>
      </c>
      <c r="D40" t="s">
        <v>9</v>
      </c>
      <c r="E40" t="s">
        <v>25</v>
      </c>
      <c r="F40" t="s">
        <v>26</v>
      </c>
      <c r="G40">
        <v>0</v>
      </c>
      <c r="H40">
        <v>3</v>
      </c>
      <c r="I40">
        <v>1</v>
      </c>
      <c r="J40" t="s">
        <v>12</v>
      </c>
    </row>
    <row r="41" spans="1:10" hidden="1" x14ac:dyDescent="0.25">
      <c r="A41">
        <v>28</v>
      </c>
      <c r="B41">
        <v>20000142</v>
      </c>
      <c r="C41">
        <v>4</v>
      </c>
      <c r="D41" t="s">
        <v>9</v>
      </c>
      <c r="E41" t="s">
        <v>27</v>
      </c>
      <c r="F41" t="s">
        <v>28</v>
      </c>
      <c r="G41">
        <v>0</v>
      </c>
      <c r="H41">
        <v>2</v>
      </c>
      <c r="I41">
        <v>0</v>
      </c>
      <c r="J41" t="s">
        <v>12</v>
      </c>
    </row>
    <row r="42" spans="1:10" hidden="1" x14ac:dyDescent="0.25">
      <c r="A42">
        <v>29</v>
      </c>
      <c r="B42">
        <v>20000142</v>
      </c>
      <c r="C42">
        <v>4</v>
      </c>
      <c r="D42" t="s">
        <v>9</v>
      </c>
      <c r="E42" t="s">
        <v>27</v>
      </c>
      <c r="F42" t="s">
        <v>28</v>
      </c>
      <c r="G42">
        <v>0</v>
      </c>
      <c r="H42">
        <v>5</v>
      </c>
      <c r="I42">
        <v>0</v>
      </c>
      <c r="J42" t="s">
        <v>12</v>
      </c>
    </row>
    <row r="43" spans="1:10" hidden="1" x14ac:dyDescent="0.25">
      <c r="A43">
        <v>30</v>
      </c>
      <c r="B43">
        <v>20000142</v>
      </c>
      <c r="C43">
        <v>4</v>
      </c>
      <c r="D43" t="s">
        <v>9</v>
      </c>
      <c r="E43" t="s">
        <v>27</v>
      </c>
      <c r="F43" t="s">
        <v>28</v>
      </c>
      <c r="G43">
        <v>0</v>
      </c>
      <c r="H43">
        <v>3</v>
      </c>
      <c r="I43">
        <v>0</v>
      </c>
      <c r="J43" t="s">
        <v>12</v>
      </c>
    </row>
    <row r="44" spans="1:10" hidden="1" x14ac:dyDescent="0.25">
      <c r="A44">
        <v>31</v>
      </c>
      <c r="B44">
        <v>20000142</v>
      </c>
      <c r="C44">
        <v>4</v>
      </c>
      <c r="D44" t="s">
        <v>9</v>
      </c>
      <c r="E44" t="s">
        <v>27</v>
      </c>
      <c r="F44" t="s">
        <v>28</v>
      </c>
      <c r="G44">
        <v>0</v>
      </c>
      <c r="H44">
        <v>1</v>
      </c>
      <c r="I44">
        <v>0</v>
      </c>
      <c r="J44" t="s">
        <v>12</v>
      </c>
    </row>
    <row r="45" spans="1:10" hidden="1" x14ac:dyDescent="0.25">
      <c r="A45">
        <v>32</v>
      </c>
      <c r="B45">
        <v>20000142</v>
      </c>
      <c r="C45">
        <v>4</v>
      </c>
      <c r="D45" t="s">
        <v>9</v>
      </c>
      <c r="E45" t="s">
        <v>27</v>
      </c>
      <c r="F45" t="s">
        <v>28</v>
      </c>
      <c r="G45">
        <v>0</v>
      </c>
      <c r="H45">
        <v>4</v>
      </c>
      <c r="I45">
        <v>0</v>
      </c>
      <c r="J45" t="s">
        <v>12</v>
      </c>
    </row>
    <row r="46" spans="1:10" hidden="1" x14ac:dyDescent="0.25">
      <c r="A46">
        <v>33</v>
      </c>
      <c r="B46">
        <v>20000142</v>
      </c>
      <c r="C46">
        <v>4</v>
      </c>
      <c r="D46" t="s">
        <v>9</v>
      </c>
      <c r="E46" t="s">
        <v>29</v>
      </c>
      <c r="F46" t="s">
        <v>30</v>
      </c>
      <c r="G46">
        <v>0</v>
      </c>
      <c r="H46">
        <v>5</v>
      </c>
      <c r="I46">
        <v>0</v>
      </c>
      <c r="J46" t="s">
        <v>12</v>
      </c>
    </row>
    <row r="47" spans="1:10" hidden="1" x14ac:dyDescent="0.25">
      <c r="A47">
        <v>34</v>
      </c>
      <c r="B47">
        <v>20000142</v>
      </c>
      <c r="C47">
        <v>4</v>
      </c>
      <c r="D47" t="s">
        <v>9</v>
      </c>
      <c r="E47" t="s">
        <v>29</v>
      </c>
      <c r="F47" t="s">
        <v>30</v>
      </c>
      <c r="G47">
        <v>0</v>
      </c>
      <c r="H47">
        <v>5</v>
      </c>
      <c r="I47">
        <v>0</v>
      </c>
      <c r="J47" t="s">
        <v>12</v>
      </c>
    </row>
  </sheetData>
  <autoFilter ref="A13:J47" xr:uid="{7AE77DD7-FDFC-424E-A4A5-ACE70B2E1141}">
    <filterColumn colId="4">
      <filters>
        <filter val="nt_total"/>
      </filters>
    </filterColumn>
    <filterColumn colId="7">
      <filters>
        <filter val="5"/>
      </filters>
    </filterColumn>
  </autoFilter>
  <conditionalFormatting sqref="S2:W12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Leppo, Erik</dc:creator>
  <cp:lastModifiedBy>Leppo, Erik</cp:lastModifiedBy>
  <dcterms:created xsi:type="dcterms:W3CDTF">2026-08-26T13:55:45Z</dcterms:created>
  <dcterms:modified xsi:type="dcterms:W3CDTF">2026-08-26T13:55:45Z</dcterms:modified>
</cp:coreProperties>
</file>